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416b33ec90e80f/업무/2026- 전북대학교/03. Papers/1. On-going/(2025) S-TIM/"/>
    </mc:Choice>
  </mc:AlternateContent>
  <xr:revisionPtr revIDLastSave="591" documentId="8_{81FFEA3E-389A-48CC-805F-B8205F6605D7}" xr6:coauthVersionLast="47" xr6:coauthVersionMax="47" xr10:uidLastSave="{639D079B-0386-48B0-B067-529802AB709F}"/>
  <bookViews>
    <workbookView xWindow="-670" yWindow="-18380" windowWidth="22770" windowHeight="15080" xr2:uid="{573E92E6-E28B-4077-A990-540410CED089}"/>
  </bookViews>
  <sheets>
    <sheet name="Accuracy check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G14" i="3"/>
  <c r="G13" i="3"/>
  <c r="K15" i="3"/>
  <c r="K14" i="3"/>
  <c r="K13" i="3"/>
  <c r="O15" i="3"/>
  <c r="O14" i="3"/>
  <c r="O13" i="3"/>
  <c r="O18" i="3"/>
  <c r="O17" i="3"/>
  <c r="O16" i="3"/>
  <c r="O12" i="3"/>
  <c r="O11" i="3"/>
  <c r="O10" i="3"/>
  <c r="O9" i="3"/>
  <c r="O8" i="3"/>
  <c r="O7" i="3"/>
  <c r="K18" i="3"/>
  <c r="K17" i="3"/>
  <c r="K16" i="3"/>
  <c r="K12" i="3"/>
  <c r="K11" i="3"/>
  <c r="K10" i="3"/>
  <c r="K9" i="3"/>
  <c r="K8" i="3"/>
  <c r="K7" i="3"/>
  <c r="G8" i="3"/>
  <c r="G9" i="3"/>
  <c r="G10" i="3"/>
  <c r="G11" i="3"/>
  <c r="G12" i="3"/>
  <c r="G16" i="3"/>
  <c r="G17" i="3"/>
  <c r="G18" i="3"/>
  <c r="G7" i="3"/>
</calcChain>
</file>

<file path=xl/sharedStrings.xml><?xml version="1.0" encoding="utf-8"?>
<sst xmlns="http://schemas.openxmlformats.org/spreadsheetml/2006/main" count="43" uniqueCount="18">
  <si>
    <t>RMSE</t>
    <phoneticPr fontId="1" type="noConversion"/>
  </si>
  <si>
    <t>MAXE</t>
    <phoneticPr fontId="1" type="noConversion"/>
  </si>
  <si>
    <t>MAE</t>
    <phoneticPr fontId="1" type="noConversion"/>
  </si>
  <si>
    <t>Mag</t>
    <phoneticPr fontId="1" type="noConversion"/>
  </si>
  <si>
    <t>Row(가로)</t>
    <phoneticPr fontId="1" type="noConversion"/>
  </si>
  <si>
    <t>Col(세로)</t>
    <phoneticPr fontId="1" type="noConversion"/>
  </si>
  <si>
    <t>TIM</t>
    <phoneticPr fontId="1" type="noConversion"/>
  </si>
  <si>
    <t>STD</t>
    <phoneticPr fontId="1" type="noConversion"/>
  </si>
  <si>
    <t>Out of memory</t>
    <phoneticPr fontId="1" type="noConversion"/>
  </si>
  <si>
    <t>AMD RYZEN AI MAX+ PRO 395 w/ Radeon 8060S         3.00 GHz, 64GB RAM, x64, windows 11 pro</t>
    <phoneticPr fontId="1" type="noConversion"/>
  </si>
  <si>
    <t>Seoul (2017.2.14.)</t>
    <phoneticPr fontId="1" type="noConversion"/>
  </si>
  <si>
    <t>Dangjin (2020.11.7.)</t>
    <phoneticPr fontId="1" type="noConversion"/>
  </si>
  <si>
    <t>Jeju(2021.5.29.)</t>
    <phoneticPr fontId="1" type="noConversion"/>
  </si>
  <si>
    <t>SURF-RPC</t>
    <phoneticPr fontId="1" type="noConversion"/>
  </si>
  <si>
    <t>12 (GCP 144)</t>
    <phoneticPr fontId="1" type="noConversion"/>
  </si>
  <si>
    <t>32 (GCP 1024)</t>
    <phoneticPr fontId="1" type="noConversion"/>
  </si>
  <si>
    <t>5 (GCP 125)</t>
    <phoneticPr fontId="1" type="noConversion"/>
  </si>
  <si>
    <t>10 (GCP 1000)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</si>
</sst>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0_);[Red]\(0.00000\)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theme="1"/>
      <name val="Consolas"/>
      <family val="3"/>
    </font>
    <font>
      <sz val="7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double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7" fontId="5" fillId="0" borderId="0" xfId="0" applyNumberFormat="1" applyFont="1">
      <alignment vertical="center"/>
    </xf>
    <xf numFmtId="2" fontId="4" fillId="0" borderId="0" xfId="0" applyNumberFormat="1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177" fontId="5" fillId="0" borderId="1" xfId="0" applyNumberFormat="1" applyFont="1" applyBorder="1">
      <alignment vertical="center"/>
    </xf>
    <xf numFmtId="177" fontId="5" fillId="0" borderId="2" xfId="0" applyNumberFormat="1" applyFont="1" applyBorder="1">
      <alignment vertical="center"/>
    </xf>
    <xf numFmtId="0" fontId="4" fillId="0" borderId="3" xfId="0" applyFont="1" applyBorder="1">
      <alignment vertical="center"/>
    </xf>
    <xf numFmtId="177" fontId="5" fillId="0" borderId="3" xfId="0" applyNumberFormat="1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2" borderId="8" xfId="0" applyFont="1" applyFill="1" applyBorder="1">
      <alignment vertical="center"/>
    </xf>
    <xf numFmtId="0" fontId="4" fillId="2" borderId="9" xfId="0" applyFont="1" applyFill="1" applyBorder="1">
      <alignment vertical="center"/>
    </xf>
    <xf numFmtId="0" fontId="6" fillId="2" borderId="10" xfId="0" applyFont="1" applyFill="1" applyBorder="1">
      <alignment vertical="center"/>
    </xf>
    <xf numFmtId="0" fontId="6" fillId="2" borderId="0" xfId="0" applyFont="1" applyFill="1">
      <alignment vertical="center"/>
    </xf>
    <xf numFmtId="0" fontId="6" fillId="2" borderId="15" xfId="0" applyFont="1" applyFill="1" applyBorder="1">
      <alignment vertical="center"/>
    </xf>
    <xf numFmtId="0" fontId="6" fillId="2" borderId="18" xfId="0" applyFont="1" applyFill="1" applyBorder="1">
      <alignment vertical="center"/>
    </xf>
    <xf numFmtId="0" fontId="6" fillId="2" borderId="20" xfId="0" applyFont="1" applyFill="1" applyBorder="1">
      <alignment vertical="center"/>
    </xf>
    <xf numFmtId="0" fontId="6" fillId="2" borderId="22" xfId="0" applyFont="1" applyFill="1" applyBorder="1">
      <alignment vertical="center"/>
    </xf>
    <xf numFmtId="0" fontId="6" fillId="2" borderId="25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21" xfId="0" applyFont="1" applyFill="1" applyBorder="1">
      <alignment vertical="center"/>
    </xf>
    <xf numFmtId="177" fontId="6" fillId="2" borderId="21" xfId="0" applyNumberFormat="1" applyFont="1" applyFill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177" fontId="5" fillId="0" borderId="0" xfId="0" applyNumberFormat="1" applyFont="1" applyBorder="1">
      <alignment vertical="center"/>
    </xf>
    <xf numFmtId="0" fontId="4" fillId="0" borderId="0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0054-EBB8-45B4-8E81-2473CF993050}">
  <dimension ref="A1:S30"/>
  <sheetViews>
    <sheetView tabSelected="1" zoomScale="93" zoomScaleNormal="85" workbookViewId="0">
      <selection activeCell="Q3" activeCellId="1" sqref="P1:P1048576 Q1:Q1048576"/>
    </sheetView>
  </sheetViews>
  <sheetFormatPr defaultColWidth="8.625" defaultRowHeight="12" x14ac:dyDescent="0.3"/>
  <cols>
    <col min="1" max="1" width="8.625" style="3"/>
    <col min="2" max="2" width="13.375" style="3" bestFit="1" customWidth="1"/>
    <col min="3" max="16" width="8.625" style="3"/>
    <col min="17" max="19" width="9" style="3" bestFit="1" customWidth="1"/>
    <col min="20" max="16384" width="8.625" style="3"/>
  </cols>
  <sheetData>
    <row r="1" spans="1:15" ht="12.75" thickBot="1" x14ac:dyDescent="0.35">
      <c r="A1" s="31" t="s">
        <v>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17.45" customHeight="1" thickTop="1" x14ac:dyDescent="0.3">
      <c r="A2" s="16"/>
      <c r="B2" s="17"/>
      <c r="C2" s="17"/>
      <c r="D2" s="35" t="s">
        <v>10</v>
      </c>
      <c r="E2" s="34"/>
      <c r="F2" s="34"/>
      <c r="G2" s="34"/>
      <c r="H2" s="34" t="s">
        <v>12</v>
      </c>
      <c r="I2" s="34"/>
      <c r="J2" s="34"/>
      <c r="K2" s="34"/>
      <c r="L2" s="34" t="s">
        <v>11</v>
      </c>
      <c r="M2" s="34"/>
      <c r="N2" s="34"/>
      <c r="O2" s="34"/>
    </row>
    <row r="3" spans="1:15" x14ac:dyDescent="0.3">
      <c r="A3" s="18"/>
      <c r="B3" s="19"/>
      <c r="C3" s="19"/>
      <c r="D3" s="25" t="s">
        <v>0</v>
      </c>
      <c r="E3" s="26" t="s">
        <v>1</v>
      </c>
      <c r="F3" s="27" t="s">
        <v>2</v>
      </c>
      <c r="G3" s="27" t="s">
        <v>7</v>
      </c>
      <c r="H3" s="26" t="s">
        <v>0</v>
      </c>
      <c r="I3" s="26" t="s">
        <v>1</v>
      </c>
      <c r="J3" s="27" t="s">
        <v>2</v>
      </c>
      <c r="K3" s="27" t="s">
        <v>7</v>
      </c>
      <c r="L3" s="26" t="s">
        <v>0</v>
      </c>
      <c r="M3" s="26" t="s">
        <v>1</v>
      </c>
      <c r="N3" s="27" t="s">
        <v>2</v>
      </c>
      <c r="O3" s="27" t="s">
        <v>7</v>
      </c>
    </row>
    <row r="4" spans="1:15" ht="14.45" hidden="1" customHeight="1" x14ac:dyDescent="0.3">
      <c r="A4" s="42" t="s">
        <v>13</v>
      </c>
      <c r="B4" s="39">
        <v>7</v>
      </c>
      <c r="C4" s="23" t="s">
        <v>4</v>
      </c>
      <c r="D4" s="12">
        <v>20.684086000000001</v>
      </c>
      <c r="E4" s="3">
        <v>23.143046999999999</v>
      </c>
      <c r="F4" s="4">
        <v>20.634152</v>
      </c>
      <c r="G4" s="4"/>
      <c r="H4" s="12"/>
    </row>
    <row r="5" spans="1:15" ht="14.45" hidden="1" customHeight="1" x14ac:dyDescent="0.3">
      <c r="A5" s="37"/>
      <c r="B5" s="40"/>
      <c r="C5" s="21" t="s">
        <v>5</v>
      </c>
      <c r="D5" s="12">
        <v>3.607335</v>
      </c>
      <c r="E5" s="3">
        <v>12.702006000000001</v>
      </c>
      <c r="F5" s="4">
        <v>2.5653950000000001</v>
      </c>
      <c r="G5" s="4"/>
      <c r="H5" s="12"/>
    </row>
    <row r="6" spans="1:15" ht="14.45" hidden="1" customHeight="1" x14ac:dyDescent="0.3">
      <c r="A6" s="37"/>
      <c r="B6" s="40"/>
      <c r="C6" s="21" t="s">
        <v>3</v>
      </c>
      <c r="D6" s="12">
        <v>20.996292</v>
      </c>
      <c r="E6" s="3">
        <v>24.621555000000001</v>
      </c>
      <c r="F6" s="4">
        <v>20.936178999999999</v>
      </c>
      <c r="G6" s="4"/>
      <c r="H6" s="12"/>
    </row>
    <row r="7" spans="1:15" x14ac:dyDescent="0.3">
      <c r="A7" s="37"/>
      <c r="B7" s="39" t="s">
        <v>14</v>
      </c>
      <c r="C7" s="23" t="s">
        <v>4</v>
      </c>
      <c r="D7" s="13">
        <v>20.664870000000001</v>
      </c>
      <c r="E7" s="6">
        <v>23.118251999999998</v>
      </c>
      <c r="F7" s="6">
        <v>20.614981</v>
      </c>
      <c r="G7" s="6">
        <f>SQRT(D7^2-F7^2)</f>
        <v>1.4350646280007868</v>
      </c>
      <c r="H7" s="13">
        <v>24.707453999999998</v>
      </c>
      <c r="I7" s="6">
        <v>26.604897000000001</v>
      </c>
      <c r="J7" s="8">
        <v>24.681408999999999</v>
      </c>
      <c r="K7" s="6">
        <f t="shared" ref="K7:K18" si="0">SQRT(H7^2-J7^2)</f>
        <v>1.1341661857218828</v>
      </c>
      <c r="L7" s="8">
        <v>32.170431000000001</v>
      </c>
      <c r="M7" s="8">
        <v>38.220607999999999</v>
      </c>
      <c r="N7" s="8">
        <v>31.952791999999999</v>
      </c>
      <c r="O7" s="6">
        <f>SQRT(L7^2-N7^2)</f>
        <v>3.7357347510894141</v>
      </c>
    </row>
    <row r="8" spans="1:15" x14ac:dyDescent="0.3">
      <c r="A8" s="37"/>
      <c r="B8" s="40"/>
      <c r="C8" s="21" t="s">
        <v>5</v>
      </c>
      <c r="D8" s="12">
        <v>4.6425450000000001</v>
      </c>
      <c r="E8" s="3">
        <v>15.799771</v>
      </c>
      <c r="F8" s="3">
        <v>2.8536600000000001</v>
      </c>
      <c r="G8" s="3">
        <f t="shared" ref="G8:G18" si="1">SQRT(D8^2-F8^2)</f>
        <v>3.6619460238273582</v>
      </c>
      <c r="H8" s="12">
        <v>1.61086</v>
      </c>
      <c r="I8" s="3">
        <v>3.2461700000000002</v>
      </c>
      <c r="J8" s="4">
        <v>1.3107599999999999</v>
      </c>
      <c r="K8" s="3">
        <f t="shared" si="0"/>
        <v>0.9363643318708802</v>
      </c>
      <c r="L8" s="4">
        <v>16.881288999999999</v>
      </c>
      <c r="M8" s="4">
        <v>26.532743</v>
      </c>
      <c r="N8" s="4">
        <v>16.393277999999999</v>
      </c>
      <c r="O8" s="3">
        <f t="shared" ref="O8:O18" si="2">SQRT(L8^2-N8^2)</f>
        <v>4.0296841955960998</v>
      </c>
    </row>
    <row r="9" spans="1:15" x14ac:dyDescent="0.3">
      <c r="A9" s="37"/>
      <c r="B9" s="44"/>
      <c r="C9" s="22" t="s">
        <v>3</v>
      </c>
      <c r="D9" s="14">
        <v>21.179945</v>
      </c>
      <c r="E9" s="7">
        <v>26.531753999999999</v>
      </c>
      <c r="F9" s="7">
        <v>21.091329000000002</v>
      </c>
      <c r="G9" s="7">
        <f t="shared" si="1"/>
        <v>1.9354356658860803</v>
      </c>
      <c r="H9" s="14">
        <v>24.759910000000001</v>
      </c>
      <c r="I9" s="7">
        <v>26.605104000000001</v>
      </c>
      <c r="J9" s="9">
        <v>24.734531</v>
      </c>
      <c r="K9" s="7">
        <f t="shared" si="0"/>
        <v>1.120767334525353</v>
      </c>
      <c r="L9" s="9">
        <v>37.302007000000003</v>
      </c>
      <c r="M9" s="9">
        <v>42.269672999999997</v>
      </c>
      <c r="N9" s="9">
        <v>37.158709000000002</v>
      </c>
      <c r="O9" s="7">
        <f t="shared" si="2"/>
        <v>3.266507566403023</v>
      </c>
    </row>
    <row r="10" spans="1:15" x14ac:dyDescent="0.3">
      <c r="A10" s="37"/>
      <c r="B10" s="40" t="s">
        <v>15</v>
      </c>
      <c r="C10" s="21" t="s">
        <v>4</v>
      </c>
      <c r="D10" s="13">
        <v>20.664816999999999</v>
      </c>
      <c r="E10" s="8">
        <v>23.120135000000001</v>
      </c>
      <c r="F10" s="8">
        <v>20.614923000000001</v>
      </c>
      <c r="G10" s="6">
        <f t="shared" si="1"/>
        <v>1.4351346095610313</v>
      </c>
      <c r="H10" s="13">
        <v>24.707753</v>
      </c>
      <c r="I10" s="6">
        <v>26.604976000000001</v>
      </c>
      <c r="J10" s="6">
        <v>24.681709999999999</v>
      </c>
      <c r="K10" s="6">
        <f t="shared" si="0"/>
        <v>1.1341295273949294</v>
      </c>
      <c r="L10" s="6">
        <v>32.170468</v>
      </c>
      <c r="M10" s="6">
        <v>38.219802000000001</v>
      </c>
      <c r="N10" s="6">
        <v>31.952828</v>
      </c>
      <c r="O10" s="6">
        <f t="shared" si="2"/>
        <v>3.7357454599369868</v>
      </c>
    </row>
    <row r="11" spans="1:15" x14ac:dyDescent="0.3">
      <c r="A11" s="37"/>
      <c r="B11" s="40"/>
      <c r="C11" s="21" t="s">
        <v>5</v>
      </c>
      <c r="D11" s="12">
        <v>2.0331100000000002</v>
      </c>
      <c r="E11" s="45">
        <v>6.29643</v>
      </c>
      <c r="F11" s="45">
        <v>1.477784</v>
      </c>
      <c r="G11" s="46">
        <f t="shared" si="1"/>
        <v>1.3963132604985173</v>
      </c>
      <c r="H11" s="12">
        <v>1.8137859999999999</v>
      </c>
      <c r="I11" s="46">
        <v>3.4031060000000002</v>
      </c>
      <c r="J11" s="46">
        <v>1.5167269999999999</v>
      </c>
      <c r="K11" s="46">
        <f t="shared" si="0"/>
        <v>0.99466520059113339</v>
      </c>
      <c r="L11" s="46">
        <v>17.031495</v>
      </c>
      <c r="M11" s="46">
        <v>26.015754000000001</v>
      </c>
      <c r="N11" s="46">
        <v>16.379629999999999</v>
      </c>
      <c r="O11" s="46">
        <f t="shared" si="2"/>
        <v>4.6668557935857695</v>
      </c>
    </row>
    <row r="12" spans="1:15" ht="12.75" thickBot="1" x14ac:dyDescent="0.35">
      <c r="A12" s="37"/>
      <c r="B12" s="40"/>
      <c r="C12" s="21" t="s">
        <v>3</v>
      </c>
      <c r="D12" s="15">
        <v>20.764589999999998</v>
      </c>
      <c r="E12" s="11">
        <v>23.133189999999999</v>
      </c>
      <c r="F12" s="11">
        <v>20.716388999999999</v>
      </c>
      <c r="G12" s="10">
        <f t="shared" si="1"/>
        <v>1.4140101374385343</v>
      </c>
      <c r="H12" s="15">
        <v>24.774238</v>
      </c>
      <c r="I12" s="10">
        <v>26.607330999999999</v>
      </c>
      <c r="J12" s="10">
        <v>24.750124</v>
      </c>
      <c r="K12" s="10">
        <f t="shared" si="0"/>
        <v>1.0928085217767989</v>
      </c>
      <c r="L12" s="10">
        <v>36.400699000000003</v>
      </c>
      <c r="M12" s="10">
        <v>40.611274999999999</v>
      </c>
      <c r="N12" s="10">
        <v>36.243138000000002</v>
      </c>
      <c r="O12" s="10">
        <f t="shared" si="2"/>
        <v>3.3831694609577707</v>
      </c>
    </row>
    <row r="13" spans="1:15" ht="12.75" thickTop="1" x14ac:dyDescent="0.3">
      <c r="A13" s="36" t="s">
        <v>6</v>
      </c>
      <c r="B13" s="43" t="s">
        <v>16</v>
      </c>
      <c r="C13" s="20" t="s">
        <v>4</v>
      </c>
      <c r="D13" s="12">
        <v>4546.9226019999996</v>
      </c>
      <c r="E13" s="3">
        <v>23115.267480999999</v>
      </c>
      <c r="F13" s="3">
        <v>1553.237588</v>
      </c>
      <c r="G13" s="3">
        <f t="shared" si="1"/>
        <v>4273.4012383349154</v>
      </c>
      <c r="H13" s="12">
        <v>3497.513023</v>
      </c>
      <c r="I13" s="3">
        <v>10069.626805</v>
      </c>
      <c r="J13" s="3">
        <v>2213.8972039999999</v>
      </c>
      <c r="K13" s="3">
        <f t="shared" si="0"/>
        <v>2707.6293166117812</v>
      </c>
      <c r="L13" s="3">
        <v>649.30184399999996</v>
      </c>
      <c r="M13" s="3">
        <v>1089.7701970000001</v>
      </c>
      <c r="N13" s="3">
        <v>585.73278100000005</v>
      </c>
      <c r="O13" s="3">
        <f t="shared" si="2"/>
        <v>280.19634880527315</v>
      </c>
    </row>
    <row r="14" spans="1:15" x14ac:dyDescent="0.3">
      <c r="A14" s="37"/>
      <c r="B14" s="40"/>
      <c r="C14" s="21" t="s">
        <v>5</v>
      </c>
      <c r="D14" s="12">
        <v>615.11739799999998</v>
      </c>
      <c r="E14" s="3">
        <v>1522.73163</v>
      </c>
      <c r="F14" s="3">
        <v>436.97356600000001</v>
      </c>
      <c r="G14" s="3">
        <f t="shared" si="1"/>
        <v>432.92437669821044</v>
      </c>
      <c r="H14" s="12">
        <v>10548.570696999999</v>
      </c>
      <c r="I14" s="3">
        <v>40174.603155999997</v>
      </c>
      <c r="J14" s="3">
        <v>3793.2355849999999</v>
      </c>
      <c r="K14" s="3">
        <f t="shared" si="0"/>
        <v>9842.9521763694847</v>
      </c>
      <c r="L14" s="3">
        <v>1646.9902030000001</v>
      </c>
      <c r="M14" s="3">
        <v>4102.7956789999998</v>
      </c>
      <c r="N14" s="3">
        <v>1017.456514</v>
      </c>
      <c r="O14" s="3">
        <f t="shared" si="2"/>
        <v>1295.1289398731499</v>
      </c>
    </row>
    <row r="15" spans="1:15" x14ac:dyDescent="0.3">
      <c r="A15" s="37"/>
      <c r="B15" s="44"/>
      <c r="C15" s="22" t="s">
        <v>3</v>
      </c>
      <c r="D15" s="14">
        <v>4588.3411560000004</v>
      </c>
      <c r="E15" s="7">
        <v>23165.368599000001</v>
      </c>
      <c r="F15" s="7">
        <v>1758.5369559999999</v>
      </c>
      <c r="G15" s="3">
        <f t="shared" si="1"/>
        <v>4237.9738482234261</v>
      </c>
      <c r="H15" s="12">
        <v>11113.277693</v>
      </c>
      <c r="I15" s="3">
        <v>40599.638704999998</v>
      </c>
      <c r="J15" s="3">
        <v>4913.6772639999999</v>
      </c>
      <c r="K15" s="3">
        <f t="shared" si="0"/>
        <v>9967.9845920316748</v>
      </c>
      <c r="L15" s="3">
        <v>1770.3586110000001</v>
      </c>
      <c r="M15" s="3">
        <v>4103.0340679999999</v>
      </c>
      <c r="N15" s="3">
        <v>1324.654718</v>
      </c>
      <c r="O15" s="3">
        <f t="shared" si="2"/>
        <v>1174.5039334213361</v>
      </c>
    </row>
    <row r="16" spans="1:15" x14ac:dyDescent="0.3">
      <c r="A16" s="37"/>
      <c r="B16" s="40" t="s">
        <v>17</v>
      </c>
      <c r="C16" s="21" t="s">
        <v>4</v>
      </c>
      <c r="D16" s="12">
        <v>20.664949</v>
      </c>
      <c r="E16" s="3">
        <v>23.119865999999998</v>
      </c>
      <c r="F16" s="3">
        <v>20.615055000000002</v>
      </c>
      <c r="G16" s="6">
        <f t="shared" si="1"/>
        <v>1.4351391986758455</v>
      </c>
      <c r="H16" s="13">
        <v>24.707806999999999</v>
      </c>
      <c r="I16" s="6">
        <v>26.605772000000002</v>
      </c>
      <c r="J16" s="6">
        <v>24.681753</v>
      </c>
      <c r="K16" s="6">
        <f t="shared" si="0"/>
        <v>1.1343701319410373</v>
      </c>
      <c r="L16" s="6">
        <v>32.170845999999997</v>
      </c>
      <c r="M16" s="6">
        <v>38.219617999999997</v>
      </c>
      <c r="N16" s="6">
        <v>31.953194</v>
      </c>
      <c r="O16" s="6">
        <f t="shared" si="2"/>
        <v>3.7358701200764437</v>
      </c>
    </row>
    <row r="17" spans="1:19" x14ac:dyDescent="0.3">
      <c r="A17" s="37"/>
      <c r="B17" s="40"/>
      <c r="C17" s="21" t="s">
        <v>5</v>
      </c>
      <c r="D17" s="12">
        <v>1.9800660000000001</v>
      </c>
      <c r="E17" s="3">
        <v>6.2615670000000003</v>
      </c>
      <c r="F17" s="3">
        <v>1.4768680000000001</v>
      </c>
      <c r="G17" s="3">
        <f t="shared" si="1"/>
        <v>1.3189095021767037</v>
      </c>
      <c r="H17" s="12">
        <v>2.462167</v>
      </c>
      <c r="I17" s="3">
        <v>5.73285</v>
      </c>
      <c r="J17" s="3">
        <v>2.0786129999999998</v>
      </c>
      <c r="K17" s="3">
        <f t="shared" si="0"/>
        <v>1.3197099424191669</v>
      </c>
      <c r="L17" s="3">
        <v>17.450389000000001</v>
      </c>
      <c r="M17" s="3">
        <v>27.435348999999999</v>
      </c>
      <c r="N17" s="3">
        <v>16.736166000000001</v>
      </c>
      <c r="O17" s="3">
        <f t="shared" si="2"/>
        <v>4.9413382672880246</v>
      </c>
    </row>
    <row r="18" spans="1:19" x14ac:dyDescent="0.3">
      <c r="A18" s="37"/>
      <c r="B18" s="40"/>
      <c r="C18" s="21" t="s">
        <v>3</v>
      </c>
      <c r="D18" s="12">
        <v>20.759595000000001</v>
      </c>
      <c r="E18" s="3">
        <v>23.121877999999999</v>
      </c>
      <c r="F18" s="3">
        <v>20.711501999999999</v>
      </c>
      <c r="G18" s="7">
        <f t="shared" si="1"/>
        <v>1.4122568704102898</v>
      </c>
      <c r="H18" s="14">
        <v>24.830183000000002</v>
      </c>
      <c r="I18" s="7">
        <v>26.694403000000001</v>
      </c>
      <c r="J18" s="7">
        <v>24.803146999999999</v>
      </c>
      <c r="K18" s="7">
        <f t="shared" si="0"/>
        <v>1.1583983381721938</v>
      </c>
      <c r="L18" s="7">
        <v>36.598899000000003</v>
      </c>
      <c r="M18" s="7">
        <v>41.537685000000003</v>
      </c>
      <c r="N18" s="7">
        <v>36.421429000000003</v>
      </c>
      <c r="O18" s="7">
        <f t="shared" si="2"/>
        <v>3.5998496649387897</v>
      </c>
    </row>
    <row r="19" spans="1:19" x14ac:dyDescent="0.3">
      <c r="A19" s="37"/>
      <c r="B19" s="39">
        <v>50</v>
      </c>
      <c r="C19" s="23" t="s">
        <v>4</v>
      </c>
      <c r="D19" s="28" t="s">
        <v>8</v>
      </c>
      <c r="E19" s="29"/>
      <c r="F19" s="29"/>
      <c r="G19" s="29"/>
      <c r="H19" s="28" t="s">
        <v>8</v>
      </c>
      <c r="I19" s="29"/>
      <c r="J19" s="29"/>
      <c r="K19" s="29"/>
      <c r="L19" s="28" t="s">
        <v>8</v>
      </c>
      <c r="M19" s="29"/>
      <c r="N19" s="29"/>
      <c r="O19" s="29"/>
    </row>
    <row r="20" spans="1:19" x14ac:dyDescent="0.3">
      <c r="A20" s="37"/>
      <c r="B20" s="40"/>
      <c r="C20" s="21" t="s">
        <v>5</v>
      </c>
      <c r="D20" s="30"/>
      <c r="E20" s="31"/>
      <c r="F20" s="31"/>
      <c r="G20" s="31"/>
      <c r="H20" s="30"/>
      <c r="I20" s="31"/>
      <c r="J20" s="31"/>
      <c r="K20" s="31"/>
      <c r="L20" s="30"/>
      <c r="M20" s="31"/>
      <c r="N20" s="31"/>
      <c r="O20" s="31"/>
    </row>
    <row r="21" spans="1:19" ht="12.75" thickBot="1" x14ac:dyDescent="0.35">
      <c r="A21" s="38"/>
      <c r="B21" s="41"/>
      <c r="C21" s="24" t="s">
        <v>3</v>
      </c>
      <c r="D21" s="32"/>
      <c r="E21" s="33"/>
      <c r="F21" s="33"/>
      <c r="G21" s="33"/>
      <c r="H21" s="32"/>
      <c r="I21" s="33"/>
      <c r="J21" s="33"/>
      <c r="K21" s="33"/>
      <c r="L21" s="32"/>
      <c r="M21" s="33"/>
      <c r="N21" s="33"/>
      <c r="O21" s="33"/>
    </row>
    <row r="22" spans="1:19" ht="12.75" thickTop="1" x14ac:dyDescent="0.3">
      <c r="C22" s="1"/>
      <c r="F22" s="1"/>
      <c r="G22" s="1"/>
      <c r="H22" s="1"/>
    </row>
    <row r="23" spans="1:19" x14ac:dyDescent="0.3">
      <c r="C23" s="1"/>
      <c r="E23" s="1"/>
      <c r="F23" s="1"/>
      <c r="G23" s="1"/>
      <c r="H23" s="1"/>
    </row>
    <row r="24" spans="1:19" x14ac:dyDescent="0.3">
      <c r="F24" s="1"/>
      <c r="G24" s="1"/>
      <c r="Q24" s="5"/>
      <c r="R24" s="5"/>
      <c r="S24" s="5"/>
    </row>
    <row r="25" spans="1:19" x14ac:dyDescent="0.3">
      <c r="F25" s="1"/>
      <c r="G25" s="1"/>
      <c r="Q25" s="5"/>
      <c r="R25" s="5"/>
      <c r="S25" s="5"/>
    </row>
    <row r="26" spans="1:19" x14ac:dyDescent="0.3">
      <c r="F26" s="1"/>
      <c r="G26" s="1"/>
      <c r="Q26" s="5"/>
      <c r="R26" s="5"/>
      <c r="S26" s="5"/>
    </row>
    <row r="27" spans="1:19" x14ac:dyDescent="0.3">
      <c r="F27" s="2"/>
      <c r="G27" s="2"/>
      <c r="Q27" s="5"/>
      <c r="R27" s="5"/>
      <c r="S27" s="5"/>
    </row>
    <row r="28" spans="1:19" x14ac:dyDescent="0.3">
      <c r="Q28" s="5"/>
      <c r="R28" s="5"/>
      <c r="S28" s="5"/>
    </row>
    <row r="29" spans="1:19" x14ac:dyDescent="0.3">
      <c r="Q29" s="5"/>
      <c r="R29" s="5"/>
      <c r="S29" s="5"/>
    </row>
    <row r="30" spans="1:19" x14ac:dyDescent="0.3">
      <c r="Q30" s="5"/>
      <c r="R30" s="5"/>
      <c r="S30" s="5"/>
    </row>
  </sheetData>
  <mergeCells count="15">
    <mergeCell ref="B7:B9"/>
    <mergeCell ref="B13:B15"/>
    <mergeCell ref="B16:B18"/>
    <mergeCell ref="A13:A21"/>
    <mergeCell ref="B19:B21"/>
    <mergeCell ref="D19:G21"/>
    <mergeCell ref="H19:K21"/>
    <mergeCell ref="A4:A12"/>
    <mergeCell ref="B4:B6"/>
    <mergeCell ref="B10:B12"/>
    <mergeCell ref="L19:O21"/>
    <mergeCell ref="A1:O1"/>
    <mergeCell ref="D2:G2"/>
    <mergeCell ref="H2:K2"/>
    <mergeCell ref="L2:O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Accuracy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Namhoon Kim</dc:creator>
  <cp:lastModifiedBy>Namhoon Kim</cp:lastModifiedBy>
  <dcterms:created xsi:type="dcterms:W3CDTF">2025-07-16T03:58:40Z</dcterms:created>
  <dcterms:modified xsi:type="dcterms:W3CDTF">2026-07-24T02:59:12Z</dcterms:modified>
</cp:coreProperties>
</file>